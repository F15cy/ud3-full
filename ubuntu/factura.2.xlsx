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0" yWindow="0" windowWidth="16384" windowHeight="8192" activeTab="0" tabRatio="500"/>
  </bookViews>
  <sheets>
    <sheet name="Full 1" sheetId="1" state="visible" r:id="rId1"/>
  </sheets>
</workbook>
</file>

<file path=xl/sharedStrings.xml><?xml version="1.0" encoding="utf-8"?>
<sst xmlns="http://schemas.openxmlformats.org/spreadsheetml/2006/main" count="22" uniqueCount="22">
  <si>
    <t>Factura</t>
  </si>
  <si>
    <t>Codi</t>
  </si>
  <si>
    <t>Article</t>
  </si>
  <si>
    <t>Unitats</t>
  </si>
  <si>
    <t xml:space="preserve">Preu Unitari</t>
  </si>
  <si>
    <t>Subtotal</t>
  </si>
  <si>
    <t xml:space="preserve">% De descompte</t>
  </si>
  <si>
    <t xml:space="preserve">Total Descompte €</t>
  </si>
  <si>
    <t xml:space="preserve">% IVA</t>
  </si>
  <si>
    <t xml:space="preserve">Total IVA</t>
  </si>
  <si>
    <t xml:space="preserve">Totalm amb IVA %</t>
  </si>
  <si>
    <t xml:space="preserve">Abric talla S</t>
  </si>
  <si>
    <t xml:space="preserve">Sabates talla 36</t>
  </si>
  <si>
    <t xml:space="preserve">Llibre de text</t>
  </si>
  <si>
    <t>Patates</t>
  </si>
  <si>
    <t xml:space="preserve">Import Brut</t>
  </si>
  <si>
    <t xml:space="preserve">Total Descompte</t>
  </si>
  <si>
    <t xml:space="preserve">Tipus IVA</t>
  </si>
  <si>
    <t xml:space="preserve">Base Imponible</t>
  </si>
  <si>
    <t xml:space="preserve">Import IVA</t>
  </si>
  <si>
    <t xml:space="preserve">Forma de pagament:</t>
  </si>
  <si>
    <t xml:space="preserve">Total Factura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</si>
</sst>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41" formatCode=""/>
    <numFmt numFmtId="42" formatCode=""/>
    <numFmt numFmtId="43" formatCode=""/>
    <numFmt numFmtId="44" formatCode=""/>
    <numFmt numFmtId="165" formatCode="0\ %"/>
    <numFmt numFmtId="166" formatCode="#,##0.00\ [$€-1]"/>
    <numFmt numFmtId="167" formatCode="0.00\ %"/>
    <numFmt numFmtId="168" formatCode="0.0%"/>
    <numFmt numFmtId="169" formatCode="#,##0.00\€"/>
    <numFmt numFmtId="170" formatCode="General"/>
  </numFmts>
  <fonts count="7">
    <font>
      <sz val="10.000000"/>
      <color indexed="64"/>
      <name val="Arial"/>
    </font>
    <font>
      <sz val="10.000000"/>
      <name val="Arial"/>
    </font>
    <font>
      <b/>
      <sz val="37.000000"/>
      <color indexed="64"/>
      <name val="Arial"/>
    </font>
    <font>
      <sz val="11.000000"/>
      <color indexed="64"/>
      <name val="Arial"/>
    </font>
    <font>
      <b/>
      <sz val="12.000000"/>
      <color indexed="64"/>
      <name val="Arial"/>
    </font>
    <font>
      <b/>
      <sz val="30.000000"/>
      <color indexed="64"/>
      <name val="Arial"/>
    </font>
    <font>
      <b/>
      <sz val="11.000000"/>
      <color indexed="64"/>
      <name val="Arial"/>
    </font>
  </fonts>
  <fills count="3">
    <fill>
      <patternFill patternType="none"/>
    </fill>
    <fill>
      <patternFill patternType="gray125">
        <fgColor/>
        <bgColor indexed="65"/>
      </patternFill>
    </fill>
    <fill>
      <patternFill patternType="solid">
        <fgColor rgb="FFFFF2CC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fontId="0" fillId="0" borderId="0" numFmtId="17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1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1" fillId="0" borderId="0" numFmtId="43">
      <alignment horizontal="general" shrinkToFit="0" vertical="bottom" wrapText="0"/>
    </xf>
    <xf fontId="1" fillId="0" borderId="0" numFmtId="41">
      <alignment horizontal="general" shrinkToFit="0" vertical="bottom" wrapText="0"/>
    </xf>
    <xf fontId="1" fillId="0" borderId="0" numFmtId="44">
      <alignment horizontal="general" shrinkToFit="0" vertical="bottom" wrapText="0"/>
    </xf>
    <xf fontId="1" fillId="0" borderId="0" numFmtId="42">
      <alignment horizontal="general" shrinkToFit="0" vertical="bottom" wrapText="0"/>
    </xf>
    <xf fontId="1" fillId="0" borderId="0" numFmtId="9">
      <alignment horizontal="general" shrinkToFit="0" vertical="bottom" wrapText="0"/>
    </xf>
  </cellStyleXfs>
  <cellXfs count="23">
    <xf fontId="0" fillId="0" borderId="0" numFmtId="170" xfId="0" applyNumberFormat="0" applyFont="0" applyFill="0" applyBorder="0" applyAlignment="0">
      <alignment horizontal="general" shrinkToFit="0" vertical="bottom" wrapText="0"/>
    </xf>
    <xf fontId="2" fillId="0" borderId="0" numFmtId="170" xfId="0" applyNumberFormat="0" applyFont="1" applyFill="0" applyBorder="0" applyAlignment="1">
      <alignment horizontal="general" shrinkToFit="0" vertical="bottom" wrapText="0"/>
    </xf>
    <xf fontId="2" fillId="0" borderId="0" numFmtId="170" xfId="0" applyNumberFormat="0" applyFont="1" applyFill="0" applyBorder="1" applyAlignment="1">
      <alignment horizontal="general" shrinkToFit="0" vertical="bottom" wrapText="0"/>
    </xf>
    <xf fontId="3" fillId="0" borderId="0" numFmtId="170" xfId="0" applyNumberFormat="0" applyFont="1" applyFill="0" applyBorder="0" applyAlignment="1">
      <alignment horizontal="general" shrinkToFit="0" vertical="bottom" wrapText="0"/>
    </xf>
    <xf fontId="3" fillId="2" borderId="1" numFmtId="170" xfId="0" applyNumberFormat="0" applyFont="1" applyFill="1" applyBorder="1" applyAlignment="1">
      <alignment horizontal="general" shrinkToFit="0" vertical="bottom" wrapText="0"/>
    </xf>
    <xf fontId="3" fillId="2" borderId="1" numFmtId="170" xfId="0" applyNumberFormat="0" applyFont="1" applyFill="1" applyBorder="1" applyAlignment="1">
      <alignment horizontal="center" shrinkToFit="0" vertical="bottom" wrapText="0"/>
    </xf>
    <xf fontId="3" fillId="0" borderId="1" numFmtId="170" xfId="0" applyNumberFormat="0" applyFont="1" applyFill="0" applyBorder="1" applyAlignment="1">
      <alignment horizontal="general" shrinkToFit="0" vertical="bottom" wrapText="0"/>
    </xf>
    <xf fontId="3" fillId="0" borderId="0" numFmtId="169" xfId="0" applyNumberFormat="1" applyFont="1" applyFill="0" applyBorder="0" applyAlignment="1">
      <alignment horizontal="general" shrinkToFit="0" vertical="bottom" wrapText="0"/>
    </xf>
    <xf fontId="3" fillId="0" borderId="1" numFmtId="169" xfId="0" applyNumberFormat="1" applyFont="1" applyFill="0" applyBorder="1" applyAlignment="0">
      <alignment horizontal="general" shrinkToFit="0" vertical="bottom" wrapText="0"/>
    </xf>
    <xf fontId="3" fillId="0" borderId="1" numFmtId="168" xfId="0" applyNumberFormat="1" applyFont="1" applyFill="0" applyBorder="1" applyAlignment="1">
      <alignment horizontal="general" shrinkToFit="0" vertical="bottom" wrapText="0"/>
    </xf>
    <xf fontId="3" fillId="0" borderId="1" numFmtId="167" xfId="0" applyNumberFormat="1" applyFont="1" applyFill="0" applyBorder="1" applyAlignment="1">
      <alignment horizontal="general" shrinkToFit="0" vertical="bottom" wrapText="0"/>
    </xf>
    <xf fontId="3" fillId="0" borderId="1" numFmtId="169" xfId="0" applyNumberFormat="1" applyFont="1" applyFill="0" applyBorder="1" applyAlignment="1">
      <alignment horizontal="general" shrinkToFit="0" vertical="bottom" wrapText="0"/>
    </xf>
    <xf fontId="3" fillId="0" borderId="1" numFmtId="170" xfId="0" applyNumberFormat="0" applyFont="1" applyFill="0" applyBorder="1" applyAlignment="0">
      <alignment horizontal="general" shrinkToFit="0" vertical="bottom" wrapText="0"/>
    </xf>
    <xf fontId="3" fillId="0" borderId="0" numFmtId="170" xfId="0" applyNumberFormat="0" applyFont="1" applyFill="0" applyBorder="0" applyAlignment="1">
      <alignment horizontal="center" shrinkToFit="0" vertical="bottom" wrapText="0"/>
    </xf>
    <xf fontId="3" fillId="2" borderId="2" numFmtId="170" xfId="0" applyNumberFormat="0" applyFont="1" applyFill="1" applyBorder="1" applyAlignment="1">
      <alignment horizontal="center" shrinkToFit="0" vertical="bottom" wrapText="0"/>
    </xf>
    <xf fontId="3" fillId="0" borderId="3" numFmtId="169" xfId="0" applyNumberFormat="1" applyFont="1" applyFill="0" applyBorder="1" applyAlignment="1">
      <alignment horizontal="general" shrinkToFit="0" vertical="bottom" wrapText="0"/>
    </xf>
    <xf fontId="3" fillId="0" borderId="4" numFmtId="166" xfId="0" applyNumberFormat="1" applyFont="1" applyFill="0" applyBorder="1" applyAlignment="0">
      <alignment horizontal="general" shrinkToFit="0" vertical="bottom" wrapText="0"/>
    </xf>
    <xf fontId="3" fillId="0" borderId="1" numFmtId="165" xfId="0" applyNumberFormat="1" applyFont="1" applyFill="0" applyBorder="1" applyAlignment="1">
      <alignment horizontal="general" shrinkToFit="0" vertical="bottom" wrapText="0"/>
    </xf>
    <xf fontId="3" fillId="0" borderId="1" numFmtId="166" xfId="0" applyNumberFormat="1" applyFont="1" applyFill="0" applyBorder="1" applyAlignment="0">
      <alignment horizontal="general" shrinkToFit="0" vertical="bottom" wrapText="0"/>
    </xf>
    <xf fontId="4" fillId="0" borderId="0" numFmtId="170" xfId="0" applyNumberFormat="0" applyFont="1" applyFill="0" applyBorder="0" applyAlignment="1">
      <alignment horizontal="general" shrinkToFit="0" vertical="bottom" wrapText="0"/>
    </xf>
    <xf fontId="4" fillId="0" borderId="1" numFmtId="170" xfId="0" applyNumberFormat="0" applyFont="1" applyFill="0" applyBorder="1" applyAlignment="1">
      <alignment horizontal="general" shrinkToFit="0" vertical="bottom" wrapText="0"/>
    </xf>
    <xf fontId="5" fillId="0" borderId="1" numFmtId="170" xfId="0" applyNumberFormat="0" applyFont="1" applyFill="0" applyBorder="1" applyAlignment="1">
      <alignment horizontal="center" shrinkToFit="0" vertical="bottom" wrapText="0"/>
    </xf>
    <xf fontId="6" fillId="0" borderId="1" numFmtId="169" xfId="0" applyNumberFormat="1" applyFont="1" applyFill="0" applyBorder="1" applyAlignment="1">
      <alignment horizontal="center" shrinkToFit="0" vertical="bottom" wrapText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[0]" xfId="18" builtinId="7"/>
    <cellStyle name="Percent" xfId="19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workbookViewId="0">
      <selection activeCell="N9" sqref="N9"/>
    </sheetView>
  </sheetViews>
  <sheetFormatPr baseColWidth="8" defaultRowHeight="15.75" customHeight="1"/>
  <cols>
    <col customWidth="1" min="1" max="2" width="12.613300000000001"/>
    <col customWidth="1" min="3" max="3" width="22.003900000000002"/>
    <col customWidth="1" min="4" max="6" width="12.613300000000001"/>
    <col customWidth="1" min="7" max="7" width="13.5"/>
    <col customWidth="1" min="8" max="8" width="17.371099999999998"/>
    <col customWidth="1" min="9" max="10" width="12.613300000000001"/>
    <col customWidth="1" min="11" max="11" width="14.5"/>
    <col customWidth="1" min="12" max="257" width="12.613300000000001"/>
  </cols>
  <sheetData>
    <row r="1" ht="46.5" customHeight="1">
      <c r="A1" s="1"/>
      <c r="B1" s="2" t="s">
        <v>0</v>
      </c>
      <c r="C1" s="2"/>
      <c r="D1" s="2"/>
      <c r="E1" s="2"/>
    </row>
    <row r="2" ht="46.5" customHeight="1">
      <c r="A2" s="1"/>
      <c r="B2" s="2"/>
      <c r="C2" s="2"/>
      <c r="D2" s="2"/>
      <c r="E2" s="2"/>
    </row>
    <row r="3" ht="46.5" customHeight="1">
      <c r="A3" s="1"/>
      <c r="B3" s="2"/>
      <c r="C3" s="2"/>
      <c r="D3" s="2"/>
      <c r="E3" s="2"/>
    </row>
    <row r="5" ht="15" customHeight="1">
      <c r="A5" s="3"/>
      <c r="B5" s="4" t="s">
        <v>1</v>
      </c>
      <c r="C5" s="5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ht="15" customHeight="1">
      <c r="B6" s="6">
        <v>123956</v>
      </c>
      <c r="C6" s="6" t="s">
        <v>11</v>
      </c>
      <c r="D6" s="6">
        <v>2</v>
      </c>
      <c r="E6" s="7">
        <v>14.99</v>
      </c>
      <c r="F6" s="8">
        <f t="shared" ref="F6:F9" si="0">D6*E6</f>
        <v>29.98</v>
      </c>
      <c r="G6" s="9">
        <v>5.0000000000000003e-002</v>
      </c>
      <c r="H6" s="8">
        <f t="shared" ref="H6:H9" si="1">F6*G6</f>
        <v>1.4990000000000001</v>
      </c>
      <c r="I6" s="10">
        <v>0.20999999999999999</v>
      </c>
      <c r="J6" s="8">
        <f t="shared" ref="J6:J9" si="2">(F6-H6)*I6</f>
        <v>5.9810100000000004</v>
      </c>
      <c r="K6" s="8">
        <f t="shared" ref="K6:K9" si="3">F6-H6+J6</f>
        <v>34.462009999999999</v>
      </c>
    </row>
    <row r="7" ht="15" customHeight="1">
      <c r="B7" s="6">
        <v>123957</v>
      </c>
      <c r="C7" s="6" t="s">
        <v>12</v>
      </c>
      <c r="D7" s="6">
        <v>1</v>
      </c>
      <c r="E7" s="11">
        <v>29.149999999999999</v>
      </c>
      <c r="F7" s="8">
        <f t="shared" si="0"/>
        <v>29.149999999999999</v>
      </c>
      <c r="G7" s="9">
        <v>2.9999999999999999e-002</v>
      </c>
      <c r="H7" s="8">
        <f t="shared" si="1"/>
        <v>0.87449999999999994</v>
      </c>
      <c r="I7" s="10">
        <v>0.20999999999999999</v>
      </c>
      <c r="J7" s="8">
        <f t="shared" si="2"/>
        <v>5.937854999999999</v>
      </c>
      <c r="K7" s="8">
        <f t="shared" si="3"/>
        <v>34.213354999999993</v>
      </c>
    </row>
    <row r="8" ht="15" customHeight="1">
      <c r="B8" s="6">
        <v>123958</v>
      </c>
      <c r="C8" s="6" t="s">
        <v>13</v>
      </c>
      <c r="D8" s="6">
        <v>3</v>
      </c>
      <c r="E8" s="11">
        <v>25.66</v>
      </c>
      <c r="F8" s="8">
        <f t="shared" si="0"/>
        <v>76.980000000000004</v>
      </c>
      <c r="G8" s="9">
        <v>0.10000000000000001</v>
      </c>
      <c r="H8" s="8">
        <f t="shared" si="1"/>
        <v>7.6980000000000004</v>
      </c>
      <c r="I8" s="10">
        <v>0.10000000000000001</v>
      </c>
      <c r="J8" s="8">
        <f t="shared" si="2"/>
        <v>6.9282000000000012</v>
      </c>
      <c r="K8" s="8">
        <f t="shared" si="3"/>
        <v>76.210200000000015</v>
      </c>
    </row>
    <row r="9" ht="15" customHeight="1">
      <c r="B9" s="6">
        <v>123959</v>
      </c>
      <c r="C9" s="6" t="s">
        <v>14</v>
      </c>
      <c r="D9" s="6">
        <v>5</v>
      </c>
      <c r="E9" s="11">
        <v>0.84999999999999998</v>
      </c>
      <c r="F9" s="8">
        <f t="shared" si="0"/>
        <v>4.25</v>
      </c>
      <c r="G9" s="12"/>
      <c r="H9" s="8">
        <f t="shared" si="1"/>
        <v>0</v>
      </c>
      <c r="I9" s="10">
        <v>4.0000000000000001e-002</v>
      </c>
      <c r="J9" s="8">
        <f t="shared" si="2"/>
        <v>0.17000000000000001</v>
      </c>
      <c r="K9" s="8">
        <f t="shared" si="3"/>
        <v>4.4199999999999999</v>
      </c>
    </row>
    <row r="10" ht="15" customHeight="1">
      <c r="B10" s="6"/>
      <c r="C10" s="12"/>
      <c r="D10" s="12"/>
      <c r="E10" s="12"/>
      <c r="F10" s="12"/>
      <c r="G10" s="12"/>
      <c r="H10" s="12"/>
      <c r="I10" s="12"/>
      <c r="J10" s="12"/>
      <c r="K10" s="12"/>
    </row>
    <row r="11" ht="15" customHeight="1">
      <c r="A11" s="13"/>
      <c r="B11" s="14" t="s">
        <v>15</v>
      </c>
      <c r="C11" s="14"/>
      <c r="D11" s="14" t="s">
        <v>16</v>
      </c>
      <c r="E11" s="14"/>
      <c r="F11" s="5" t="s">
        <v>17</v>
      </c>
      <c r="G11" s="5"/>
      <c r="H11" s="5" t="s">
        <v>18</v>
      </c>
      <c r="I11" s="5"/>
      <c r="J11" s="5" t="s">
        <v>19</v>
      </c>
      <c r="K11" s="5"/>
    </row>
    <row r="12" ht="15" customHeight="1">
      <c r="A12" s="3"/>
      <c r="B12" s="15">
        <f>SUM(F6:F9)</f>
        <v>140.36000000000001</v>
      </c>
      <c r="C12" s="15"/>
      <c r="D12" s="16">
        <f>SUM(H5:H9)</f>
        <v>10.0715</v>
      </c>
      <c r="E12" s="16"/>
      <c r="F12" s="17">
        <v>4.0000000000000001e-002</v>
      </c>
      <c r="G12" s="17"/>
      <c r="H12" s="18">
        <f t="shared" ref="H12:H14" si="4">SUMIF(I$6:K$10,F12,K$6:K$10)-SUMIF(I$6:K$10,F12,J$6:J$10)</f>
        <v>4.25</v>
      </c>
      <c r="I12" s="18"/>
      <c r="J12" s="18">
        <f t="shared" ref="J12:J14" si="5">F12*H12</f>
        <v>0.17000000000000001</v>
      </c>
      <c r="K12" s="18"/>
    </row>
    <row r="13" ht="15" customHeight="1">
      <c r="A13" s="3"/>
      <c r="B13" s="15"/>
      <c r="C13" s="15"/>
      <c r="D13" s="16"/>
      <c r="E13" s="16"/>
      <c r="F13" s="17">
        <v>0.10000000000000001</v>
      </c>
      <c r="G13" s="17"/>
      <c r="H13" s="18">
        <f t="shared" si="4"/>
        <v>69.282000000000011</v>
      </c>
      <c r="I13" s="18"/>
      <c r="J13" s="18">
        <f t="shared" si="5"/>
        <v>6.9282000000000012</v>
      </c>
      <c r="K13" s="18"/>
    </row>
    <row r="14" ht="15" customHeight="1">
      <c r="A14" s="3"/>
      <c r="B14" s="15"/>
      <c r="C14" s="15"/>
      <c r="D14" s="16"/>
      <c r="E14" s="16"/>
      <c r="F14" s="17">
        <v>0.20999999999999999</v>
      </c>
      <c r="G14" s="17"/>
      <c r="H14" s="18">
        <f t="shared" si="4"/>
        <v>56.756500000000003</v>
      </c>
      <c r="I14" s="18"/>
      <c r="J14" s="18">
        <f t="shared" si="5"/>
        <v>11.918865</v>
      </c>
      <c r="K14" s="18"/>
    </row>
    <row r="15" ht="15.75" customHeight="1">
      <c r="A15" s="19"/>
      <c r="B15" s="20" t="s">
        <v>20</v>
      </c>
      <c r="C15" s="20"/>
      <c r="D15" s="20"/>
      <c r="E15" s="20"/>
      <c r="F15" s="21" t="s">
        <v>21</v>
      </c>
      <c r="G15" s="21"/>
      <c r="H15" s="21"/>
      <c r="I15" s="21"/>
      <c r="J15" s="22">
        <f>SUM(K6:K10)</f>
        <v>149.305565</v>
      </c>
      <c r="K15" s="22"/>
    </row>
    <row r="16" ht="15.75" customHeight="1">
      <c r="A16" s="19"/>
      <c r="B16" s="20"/>
      <c r="C16" s="20"/>
      <c r="D16" s="20"/>
      <c r="E16" s="20"/>
      <c r="F16" s="21"/>
      <c r="G16" s="21"/>
      <c r="H16" s="21"/>
      <c r="I16" s="21"/>
      <c r="J16" s="22"/>
      <c r="K16" s="22"/>
    </row>
    <row r="17" ht="15.75" customHeight="1">
      <c r="A17" s="19"/>
      <c r="B17" s="20"/>
      <c r="C17" s="20"/>
      <c r="D17" s="20"/>
      <c r="E17" s="20"/>
      <c r="F17" s="21"/>
      <c r="G17" s="21"/>
      <c r="H17" s="21"/>
      <c r="I17" s="21"/>
      <c r="J17" s="22"/>
      <c r="K17" s="22"/>
    </row>
    <row r="18" ht="15.75" customHeight="1">
      <c r="A18" s="19"/>
      <c r="B18" s="20"/>
      <c r="C18" s="20"/>
      <c r="D18" s="20"/>
      <c r="E18" s="20"/>
      <c r="F18" s="21"/>
      <c r="G18" s="21"/>
      <c r="H18" s="21"/>
      <c r="I18" s="21"/>
      <c r="J18" s="22"/>
      <c r="K18" s="22"/>
    </row>
  </sheetData>
  <mergeCells count="20">
    <mergeCell ref="B1:E3"/>
    <mergeCell ref="B11:C11"/>
    <mergeCell ref="D11:E11"/>
    <mergeCell ref="F11:G11"/>
    <mergeCell ref="H11:I11"/>
    <mergeCell ref="J11:K11"/>
    <mergeCell ref="B12:C14"/>
    <mergeCell ref="D12:E14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B15:E18"/>
    <mergeCell ref="F15:I18"/>
    <mergeCell ref="J15:K18"/>
  </mergeCells>
  <pageMargins left="0.74791700000000005" right="0.74791700000000005" top="0.98402800000000012" bottom="0.98402800000000012" header="0.51181100000000002" footer="0.51181100000000002"/>
  <pageSetup paperSize="9" scale="90" firstPageNumber="0" fitToWidth="1" fitToHeight="1" orientation="portrait" horizontalDpi="300" verticalDpi="300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</cp:lastModifiedBy>
  <cp:revision>0</cp:revision>
  <dcterms:created xsi:type="dcterms:W3CDTF">2025-12-12T16:26:00Z</dcterms:created>
  <dcterms:modified xsi:type="dcterms:W3CDTF">2026-04-21T09:52:00Z</dcterms:modified>
</cp:coreProperties>
</file>